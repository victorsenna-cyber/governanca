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1. O Teto" sheetId="2" state="visible" r:id="rId4"/>
    <sheet name="2. Alavancas" sheetId="3" state="visible" r:id="rId5"/>
    <sheet name="3. Breakeven e Payback" sheetId="4" state="visible" r:id="rId6"/>
    <sheet name="4. Nosso lado (INTERNO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<sst xmlns="http://schemas.openxmlformats.org/spreadsheetml/2006/main" count="184" uniqueCount="170">
  <si>
    <t xml:space="preserve">MODELO ECONÔMICO — RENATA BETTA</t>
  </si>
  <si>
    <t xml:space="preserve">Assessoria Completa com tráfego pago · 6 meses · criado 21/08/2026</t>
  </si>
  <si>
    <t xml:space="preserve">COMO USAR</t>
  </si>
  <si>
    <t xml:space="preserve">Edite SOMENTE as células amarelas desta aba. Todo o resto é fórmula e recalcula sozinho.</t>
  </si>
  <si>
    <t xml:space="preserve">Azul = valor digitado  ·  Preto = fórmula  ·  Verde = vem de outra aba</t>
  </si>
  <si>
    <t xml:space="preserve">⚠ O faturamento realizado NÃO foi perguntado na call. A linha "receita hoje" é MODELO, não dado.</t>
  </si>
  <si>
    <t xml:space="preserve">FUNIL ATUAL DELA</t>
  </si>
  <si>
    <t xml:space="preserve">Leads por mês</t>
  </si>
  <si>
    <t xml:space="preserve">[D]</t>
  </si>
  <si>
    <t xml:space="preserve">C-05: ~20/semana, "uns cem leads por mês"</t>
  </si>
  <si>
    <t xml:space="preserve">Conversão lead → consulta</t>
  </si>
  <si>
    <t xml:space="preserve">C-06: "dessas vinte, umas cinco, seis fecham"</t>
  </si>
  <si>
    <t xml:space="preserve">Conversão consulta → tratamento</t>
  </si>
  <si>
    <t xml:space="preserve">C-07: "converto uns cinquenta, sessenta"</t>
  </si>
  <si>
    <t xml:space="preserve">Preço da consulta</t>
  </si>
  <si>
    <t xml:space="preserve">C-02: porta de entrada PAGA</t>
  </si>
  <si>
    <t xml:space="preserve">Preço do tratamento</t>
  </si>
  <si>
    <t xml:space="preserve">C-03: 4 encontros</t>
  </si>
  <si>
    <t xml:space="preserve">Encontros por tratamento</t>
  </si>
  <si>
    <t xml:space="preserve">C-03</t>
  </si>
  <si>
    <t xml:space="preserve">Duração do tratamento (meses)</t>
  </si>
  <si>
    <t xml:space="preserve">C-04</t>
  </si>
  <si>
    <t xml:space="preserve">CAPACIDADE DELA</t>
  </si>
  <si>
    <t xml:space="preserve">Atendimentos por dia</t>
  </si>
  <si>
    <t xml:space="preserve">C-32: "duas, três pessoas por dia"</t>
  </si>
  <si>
    <t xml:space="preserve">Dias úteis por mês</t>
  </si>
  <si>
    <t xml:space="preserve">[M]</t>
  </si>
  <si>
    <t xml:space="preserve">MENTORIA EM GRUPO</t>
  </si>
  <si>
    <t xml:space="preserve">Ticket da mentoria</t>
  </si>
  <si>
    <t xml:space="preserve">C-12: praticou 2.500, 3.000 e 4.000</t>
  </si>
  <si>
    <t xml:space="preserve">Margem de contribuição</t>
  </si>
  <si>
    <t xml:space="preserve">custo marginal ~zero; 10% p/ gateway e plataforma</t>
  </si>
  <si>
    <t xml:space="preserve">Margem do tratamento presencial</t>
  </si>
  <si>
    <t xml:space="preserve">custo variável mínimo</t>
  </si>
  <si>
    <t xml:space="preserve">BASE JÁ ATENDIDA</t>
  </si>
  <si>
    <t xml:space="preserve">Contatos na base</t>
  </si>
  <si>
    <t xml:space="preserve">[H]</t>
  </si>
  <si>
    <t xml:space="preserve">bio: "+500 pessoas". NUNCA citada na call. VALIDAR</t>
  </si>
  <si>
    <t xml:space="preserve">NOSSO PREÇO E A VERBA DELA</t>
  </si>
  <si>
    <t xml:space="preserve">Honorário mensal (nosso)</t>
  </si>
  <si>
    <t xml:space="preserve">Assessoria Completa, POLITICAS §5</t>
  </si>
  <si>
    <t xml:space="preserve">Meses de contrato</t>
  </si>
  <si>
    <t xml:space="preserve">3 meses NÃO fecha o piso: exigiria R$ 5.000/mês</t>
  </si>
  <si>
    <t xml:space="preserve">Verba de mídia mensal (dela)</t>
  </si>
  <si>
    <t xml:space="preserve">piso 2.000. Abaixo disso valida mensagem, não escala</t>
  </si>
  <si>
    <t xml:space="preserve">CENÁRIO ATIVO — mude aqui para ver os três</t>
  </si>
  <si>
    <t xml:space="preserve">Aumento do preço do tratamento (novo preço)</t>
  </si>
  <si>
    <t xml:space="preserve">conservador 3.500 · provável 5.000 · otimista 5.000</t>
  </si>
  <si>
    <t xml:space="preserve">Perda de volume esperada com o novo preço</t>
  </si>
  <si>
    <t xml:space="preserve">conservador 20% · provável 40% · otimista 30%</t>
  </si>
  <si>
    <t xml:space="preserve">Conversão lead excedente → mentoria</t>
  </si>
  <si>
    <t xml:space="preserve">n=0. conservador 5% · provável 7,5% · otimista 12,5%</t>
  </si>
  <si>
    <t xml:space="preserve">Conversão da base em 90 dias</t>
  </si>
  <si>
    <t xml:space="preserve">conservador 1% · provável 2% · otimista 4%</t>
  </si>
  <si>
    <t xml:space="preserve">LEGENDA DE FONTE</t>
  </si>
  <si>
    <t xml:space="preserve">[D] dado dito por ela na call de 21/08 (ID na coluna E)</t>
  </si>
  <si>
    <t xml:space="preserve">[M] derivado ou premissa nossa, declarada</t>
  </si>
  <si>
    <t xml:space="preserve">[H] hipótese não validada — validar antes de usar</t>
  </si>
  <si>
    <t xml:space="preserve">O TETO — o funil entrega mais do que a agenda absorve</t>
  </si>
  <si>
    <t xml:space="preserve">A) SE A AGENDA FOSSE INFINITA</t>
  </si>
  <si>
    <t xml:space="preserve">Consultas por mês</t>
  </si>
  <si>
    <t xml:space="preserve">leads × conversão lead→consulta</t>
  </si>
  <si>
    <t xml:space="preserve">Tratamentos por mês</t>
  </si>
  <si>
    <t xml:space="preserve">consultas × conversão consulta→tratamento</t>
  </si>
  <si>
    <t xml:space="preserve">Sessões que isso exigiria</t>
  </si>
  <si>
    <t xml:space="preserve">consultas + (tratamentos × 4 encontros ao longo da vida do tratamento)</t>
  </si>
  <si>
    <t xml:space="preserve">Receita teórica do funil</t>
  </si>
  <si>
    <t xml:space="preserve">o que o funil produziria sem restrição de agenda</t>
  </si>
  <si>
    <t xml:space="preserve">B) O QUE A AGENDA COMPORTA</t>
  </si>
  <si>
    <t xml:space="preserve">Capacidade da agenda</t>
  </si>
  <si>
    <t xml:space="preserve">atendimentos/dia × dias úteis</t>
  </si>
  <si>
    <t xml:space="preserve">Sessões por tratamento fechado (consulta + encontros)</t>
  </si>
  <si>
    <t xml:space="preserve">cada tratamento fechado consome 1/0,55 consultas + 4 encontros</t>
  </si>
  <si>
    <t xml:space="preserve">Tratamentos/mês que a agenda comporta</t>
  </si>
  <si>
    <t xml:space="preserve">satura a agenda</t>
  </si>
  <si>
    <t xml:space="preserve">Consultas/mês correspondentes</t>
  </si>
  <si>
    <t xml:space="preserve">Leads consumidos</t>
  </si>
  <si>
    <t xml:space="preserve">LEADS SEM DESTINO</t>
  </si>
  <si>
    <t xml:space="preserve">⭐ o excedente que a mentoria absorve</t>
  </si>
  <si>
    <t xml:space="preserve">RECEITA ESTIMADA HOJE</t>
  </si>
  <si>
    <t xml:space="preserve">⚠ MODELO, não dado. Faturamento não foi perguntado</t>
  </si>
  <si>
    <t xml:space="preserve">RECEITA NÃO REALIZADA</t>
  </si>
  <si>
    <t xml:space="preserve">é o custo da inação (Âncora 4)</t>
  </si>
  <si>
    <t xml:space="preserve">Você não bate a meta porque a demanda dá exatamente para ela. Você bate porque a agenda enche antes.</t>
  </si>
  <si>
    <t xml:space="preserve">AS TRÊS ALAVANCAS</t>
  </si>
  <si>
    <t xml:space="preserve">ALAVANCA 1 — PREÇO do presencial (semana 2, custo zero, não depende de nós)</t>
  </si>
  <si>
    <t xml:space="preserve">Tratamentos hoje</t>
  </si>
  <si>
    <t xml:space="preserve">Novo preço</t>
  </si>
  <si>
    <t xml:space="preserve">Perda de volume</t>
  </si>
  <si>
    <t xml:space="preserve">Tratamentos depois</t>
  </si>
  <si>
    <t xml:space="preserve">Margem antes</t>
  </si>
  <si>
    <t xml:space="preserve">Margem depois</t>
  </si>
  <si>
    <t xml:space="preserve">GANHO POR MÊS</t>
  </si>
  <si>
    <t xml:space="preserve">⭐ o volume perdido é volume que ela não conseguia atender</t>
  </si>
  <si>
    <t xml:space="preserve">Agenda liberada (sessões/mês)</t>
  </si>
  <si>
    <t xml:space="preserve">⭐ é o espaço onde o grupo cabe</t>
  </si>
  <si>
    <t xml:space="preserve">ALAVANCA 2 — MENTORIA absorve o excedente de leads</t>
  </si>
  <si>
    <t xml:space="preserve">Leads sem destino</t>
  </si>
  <si>
    <t xml:space="preserve">Conversão lead → mentoria</t>
  </si>
  <si>
    <t xml:space="preserve">n=0 — não temos dado do funil digital de mentoria dela</t>
  </si>
  <si>
    <t xml:space="preserve">Vendas de mentoria por mês</t>
  </si>
  <si>
    <t xml:space="preserve">Margem por venda</t>
  </si>
  <si>
    <t xml:space="preserve">MARGEM POR MÊS</t>
  </si>
  <si>
    <t xml:space="preserve">ALAVANCA 3 — A BASE JÁ ATENDIDA (custo de mídia zero)</t>
  </si>
  <si>
    <t xml:space="preserve">⚠ da bio, nunca confirmado. Validar contatos ativos reais</t>
  </si>
  <si>
    <t xml:space="preserve">Conversão em 90 dias</t>
  </si>
  <si>
    <t xml:space="preserve">Vendas totais (uma vez só)</t>
  </si>
  <si>
    <t xml:space="preserve">alavanca de uma vez só: a base não se regenera nessa taxa</t>
  </si>
  <si>
    <t xml:space="preserve">MARGEM TOTAL</t>
  </si>
  <si>
    <t xml:space="preserve">BREAKEVEN, FLUXO E PAYBACK</t>
  </si>
  <si>
    <t xml:space="preserve">BREAKEVEN — quantas vendas de mentoria por mês</t>
  </si>
  <si>
    <t xml:space="preserve">Desembolso mensal dela</t>
  </si>
  <si>
    <t xml:space="preserve">honorário + verba de mídia</t>
  </si>
  <si>
    <t xml:space="preserve">Sem alavanca de preço</t>
  </si>
  <si>
    <t xml:space="preserve">Custo residual com a alavanca de preço</t>
  </si>
  <si>
    <t xml:space="preserve">COM alavanca de preço rodando</t>
  </si>
  <si>
    <t xml:space="preserve">⭐ ela já fechou 16 vendas de mentoria, na unha, sem tráfego</t>
  </si>
  <si>
    <t xml:space="preserve">FLUXO MÊS A MÊS (cenário ativo na aba Premissas)</t>
  </si>
  <si>
    <t xml:space="preserve">RAMPAS (editáveis)</t>
  </si>
  <si>
    <t xml:space="preserve">Mês</t>
  </si>
  <si>
    <t xml:space="preserve">Desembolso</t>
  </si>
  <si>
    <t xml:space="preserve">Ganho de preço</t>
  </si>
  <si>
    <t xml:space="preserve">Mentoria</t>
  </si>
  <si>
    <t xml:space="preserve">Base</t>
  </si>
  <si>
    <t xml:space="preserve">Entrada</t>
  </si>
  <si>
    <t xml:space="preserve">Acum. saída</t>
  </si>
  <si>
    <t xml:space="preserve">Acum. entrada</t>
  </si>
  <si>
    <t xml:space="preserve">SALDO</t>
  </si>
  <si>
    <t xml:space="preserve">rampa mentoria</t>
  </si>
  <si>
    <t xml:space="preserve">rampa base</t>
  </si>
  <si>
    <t xml:space="preserve">G1 gera dado, não lucro</t>
  </si>
  <si>
    <t xml:space="preserve">base concentrada nos 90 dias</t>
  </si>
  <si>
    <t xml:space="preserve">PAYBACK (1º mês com saldo positivo)</t>
  </si>
  <si>
    <t xml:space="preserve">Saldo acumulado em 6 meses</t>
  </si>
  <si>
    <t xml:space="preserve">ROI sobre o desembolso</t>
  </si>
  <si>
    <t xml:space="preserve">⚠ O cenário conservador precisa ser aceitável para ela. Se no pior caso o investimento machuca, a proposta não se faz.</t>
  </si>
  <si>
    <t xml:space="preserve">ÂNCORA 7 — VIABILIDADE NOSSA</t>
  </si>
  <si>
    <t xml:space="preserve">⚠ ESTA ABA NÃO VAI AO CLIENTE. Apagar antes de qualquer envio.</t>
  </si>
  <si>
    <t xml:space="preserve">ORÇAMENTO DE HORAS</t>
  </si>
  <si>
    <t xml:space="preserve">MÊS 1 — construção</t>
  </si>
  <si>
    <t xml:space="preserve">ICP + oferta + narrativa</t>
  </si>
  <si>
    <t xml:space="preserve">Roteiro da call de vendas</t>
  </si>
  <si>
    <t xml:space="preserve">Página</t>
  </si>
  <si>
    <t xml:space="preserve">Criativos iniciais (6-10)</t>
  </si>
  <si>
    <t xml:space="preserve">Estrutura de campanha + tracking</t>
  </si>
  <si>
    <t xml:space="preserve">Onboarding e calls</t>
  </si>
  <si>
    <t xml:space="preserve">Subtotal mês 1</t>
  </si>
  <si>
    <t xml:space="preserve">MESES 2-6 — operação (por mês)</t>
  </si>
  <si>
    <t xml:space="preserve">Gestão de campanha</t>
  </si>
  <si>
    <t xml:space="preserve">Criativos de reposição</t>
  </si>
  <si>
    <t xml:space="preserve">Call quinzenal + relatório</t>
  </si>
  <si>
    <t xml:space="preserve">Ajustes de copy e página</t>
  </si>
  <si>
    <t xml:space="preserve">Subtotal por mês</t>
  </si>
  <si>
    <t xml:space="preserve">RESULTADO</t>
  </si>
  <si>
    <t xml:space="preserve">Horas totais do contrato</t>
  </si>
  <si>
    <t xml:space="preserve">Receita do contrato</t>
  </si>
  <si>
    <t xml:space="preserve">VALOR-HORA</t>
  </si>
  <si>
    <t xml:space="preserve">piso R$ 250/h — POLITICAS §5</t>
  </si>
  <si>
    <t xml:space="preserve">Teto de horas para o piso</t>
  </si>
  <si>
    <t xml:space="preserve">FOLGA em horas</t>
  </si>
  <si>
    <t xml:space="preserve">⚠ escopo travado é a condição de viabilidade</t>
  </si>
  <si>
    <t xml:space="preserve">Passa no piso?</t>
  </si>
  <si>
    <t xml:space="preserve">SENSIBILIDADE — e se estourar as horas?</t>
  </si>
  <si>
    <t xml:space="preserve">Horas extras</t>
  </si>
  <si>
    <t xml:space="preserve">Total</t>
  </si>
  <si>
    <t xml:space="preserve">Valor-hora</t>
  </si>
  <si>
    <t xml:space="preserve">Passa?</t>
  </si>
  <si>
    <t xml:space="preserve">🔴 +10h já fura o piso. Uma página a mais, um VSL "rápido", um mês de conteúdo de bônus: qualquer um derruba a conta.</t>
  </si>
  <si>
    <t xml:space="preserve">🔴 3 meses não fecha a R$ 4.500 (dá R$ 225/h). Se for 3 meses, o preço é R$ 5.000/mês. Teste mudando Premissas!C32.</t>
  </si>
  <si>
    <t xml:space="preserve">🔴 Gate de capacidade da Nakielly NÃO rodado (POLITICAS §1: os dois gates, sempre).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</si>
</sst>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&quot;R$ &quot;#,##0;&quot;(R$ &quot;#,##0\);\-"/>
    <numFmt numFmtId="168" formatCode="#,##0.0"/>
    <numFmt numFmtId="169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i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5" t="s">
        <v>5</v>
      </c>
    </row>
    <row r="9" customFormat="false" ht="15" hidden="false" customHeight="false" outlineLevel="0" collapsed="false">
      <c r="B9" s="6" t="s">
        <v>6</v>
      </c>
      <c r="C9" s="6"/>
      <c r="D9" s="6"/>
      <c r="E9" s="6"/>
    </row>
    <row r="10" customFormat="false" ht="15" hidden="false" customHeight="false" outlineLevel="0" collapsed="false">
      <c r="B10" s="7" t="s">
        <v>7</v>
      </c>
      <c r="C10" s="8" t="n">
        <v>100</v>
      </c>
      <c r="D10" s="9" t="s">
        <v>8</v>
      </c>
      <c r="E10" s="10" t="s">
        <v>9</v>
      </c>
    </row>
    <row r="11" customFormat="false" ht="15" hidden="false" customHeight="false" outlineLevel="0" collapsed="false">
      <c r="B11" s="7" t="s">
        <v>10</v>
      </c>
      <c r="C11" s="11" t="n">
        <v>0.275</v>
      </c>
      <c r="D11" s="9" t="s">
        <v>8</v>
      </c>
      <c r="E11" s="10" t="s">
        <v>11</v>
      </c>
    </row>
    <row r="12" customFormat="false" ht="15" hidden="false" customHeight="false" outlineLevel="0" collapsed="false">
      <c r="B12" s="7" t="s">
        <v>12</v>
      </c>
      <c r="C12" s="11" t="n">
        <v>0.55</v>
      </c>
      <c r="D12" s="9" t="s">
        <v>8</v>
      </c>
      <c r="E12" s="10" t="s">
        <v>13</v>
      </c>
    </row>
    <row r="13" customFormat="false" ht="15" hidden="false" customHeight="false" outlineLevel="0" collapsed="false">
      <c r="B13" s="7" t="s">
        <v>14</v>
      </c>
      <c r="C13" s="12" t="n">
        <v>290</v>
      </c>
      <c r="D13" s="9" t="s">
        <v>8</v>
      </c>
      <c r="E13" s="10" t="s">
        <v>15</v>
      </c>
    </row>
    <row r="14" customFormat="false" ht="15" hidden="false" customHeight="false" outlineLevel="0" collapsed="false">
      <c r="B14" s="7" t="s">
        <v>16</v>
      </c>
      <c r="C14" s="12" t="n">
        <v>2500</v>
      </c>
      <c r="D14" s="9" t="s">
        <v>8</v>
      </c>
      <c r="E14" s="10" t="s">
        <v>17</v>
      </c>
    </row>
    <row r="15" customFormat="false" ht="15" hidden="false" customHeight="false" outlineLevel="0" collapsed="false">
      <c r="B15" s="7" t="s">
        <v>18</v>
      </c>
      <c r="C15" s="8" t="n">
        <v>4</v>
      </c>
      <c r="D15" s="9" t="s">
        <v>8</v>
      </c>
      <c r="E15" s="10" t="s">
        <v>19</v>
      </c>
    </row>
    <row r="16" customFormat="false" ht="15" hidden="false" customHeight="false" outlineLevel="0" collapsed="false">
      <c r="B16" s="7" t="s">
        <v>20</v>
      </c>
      <c r="C16" s="13" t="n">
        <v>2.5</v>
      </c>
      <c r="D16" s="9" t="s">
        <v>8</v>
      </c>
      <c r="E16" s="10" t="s">
        <v>21</v>
      </c>
    </row>
    <row r="18" customFormat="false" ht="15" hidden="false" customHeight="false" outlineLevel="0" collapsed="false">
      <c r="B18" s="6" t="s">
        <v>22</v>
      </c>
      <c r="C18" s="6"/>
      <c r="D18" s="6"/>
      <c r="E18" s="6"/>
    </row>
    <row r="19" customFormat="false" ht="15" hidden="false" customHeight="false" outlineLevel="0" collapsed="false">
      <c r="B19" s="7" t="s">
        <v>23</v>
      </c>
      <c r="C19" s="13" t="n">
        <v>2.5</v>
      </c>
      <c r="D19" s="9" t="s">
        <v>8</v>
      </c>
      <c r="E19" s="10" t="s">
        <v>24</v>
      </c>
    </row>
    <row r="20" customFormat="false" ht="15" hidden="false" customHeight="false" outlineLevel="0" collapsed="false">
      <c r="B20" s="7" t="s">
        <v>25</v>
      </c>
      <c r="C20" s="8" t="n">
        <v>22</v>
      </c>
      <c r="D20" s="9" t="s">
        <v>26</v>
      </c>
      <c r="E20" s="10"/>
    </row>
    <row r="22" customFormat="false" ht="15" hidden="false" customHeight="false" outlineLevel="0" collapsed="false">
      <c r="B22" s="6" t="s">
        <v>27</v>
      </c>
      <c r="C22" s="6"/>
      <c r="D22" s="6"/>
      <c r="E22" s="6"/>
    </row>
    <row r="23" customFormat="false" ht="15" hidden="false" customHeight="false" outlineLevel="0" collapsed="false">
      <c r="B23" s="7" t="s">
        <v>28</v>
      </c>
      <c r="C23" s="12" t="n">
        <v>2500</v>
      </c>
      <c r="D23" s="9" t="s">
        <v>8</v>
      </c>
      <c r="E23" s="10" t="s">
        <v>29</v>
      </c>
    </row>
    <row r="24" customFormat="false" ht="15" hidden="false" customHeight="false" outlineLevel="0" collapsed="false">
      <c r="B24" s="7" t="s">
        <v>30</v>
      </c>
      <c r="C24" s="11" t="n">
        <v>0.9</v>
      </c>
      <c r="D24" s="9" t="s">
        <v>26</v>
      </c>
      <c r="E24" s="10" t="s">
        <v>31</v>
      </c>
    </row>
    <row r="25" customFormat="false" ht="15" hidden="false" customHeight="false" outlineLevel="0" collapsed="false">
      <c r="B25" s="7" t="s">
        <v>32</v>
      </c>
      <c r="C25" s="11" t="n">
        <v>0.95</v>
      </c>
      <c r="D25" s="9" t="s">
        <v>26</v>
      </c>
      <c r="E25" s="10" t="s">
        <v>33</v>
      </c>
    </row>
    <row r="27" customFormat="false" ht="15" hidden="false" customHeight="false" outlineLevel="0" collapsed="false">
      <c r="B27" s="6" t="s">
        <v>34</v>
      </c>
      <c r="C27" s="6"/>
      <c r="D27" s="6"/>
      <c r="E27" s="6"/>
    </row>
    <row r="28" customFormat="false" ht="15" hidden="false" customHeight="false" outlineLevel="0" collapsed="false">
      <c r="B28" s="7" t="s">
        <v>35</v>
      </c>
      <c r="C28" s="8" t="n">
        <v>500</v>
      </c>
      <c r="D28" s="14" t="s">
        <v>36</v>
      </c>
      <c r="E28" s="10" t="s">
        <v>37</v>
      </c>
    </row>
    <row r="30" customFormat="false" ht="15" hidden="false" customHeight="false" outlineLevel="0" collapsed="false">
      <c r="B30" s="6" t="s">
        <v>38</v>
      </c>
      <c r="C30" s="6"/>
      <c r="D30" s="6"/>
      <c r="E30" s="6"/>
    </row>
    <row r="31" customFormat="false" ht="15" hidden="false" customHeight="false" outlineLevel="0" collapsed="false">
      <c r="B31" s="7" t="s">
        <v>39</v>
      </c>
      <c r="C31" s="12" t="n">
        <v>4500</v>
      </c>
      <c r="D31" s="9" t="s">
        <v>26</v>
      </c>
      <c r="E31" s="10" t="s">
        <v>40</v>
      </c>
    </row>
    <row r="32" customFormat="false" ht="15" hidden="false" customHeight="false" outlineLevel="0" collapsed="false">
      <c r="B32" s="7" t="s">
        <v>41</v>
      </c>
      <c r="C32" s="8" t="n">
        <v>6</v>
      </c>
      <c r="D32" s="9" t="s">
        <v>26</v>
      </c>
      <c r="E32" s="10" t="s">
        <v>42</v>
      </c>
    </row>
    <row r="33" customFormat="false" ht="15" hidden="false" customHeight="false" outlineLevel="0" collapsed="false">
      <c r="B33" s="7" t="s">
        <v>43</v>
      </c>
      <c r="C33" s="12" t="n">
        <v>3000</v>
      </c>
      <c r="D33" s="9" t="s">
        <v>26</v>
      </c>
      <c r="E33" s="10" t="s">
        <v>44</v>
      </c>
    </row>
    <row r="35" customFormat="false" ht="15" hidden="false" customHeight="false" outlineLevel="0" collapsed="false">
      <c r="B35" s="6" t="s">
        <v>45</v>
      </c>
      <c r="C35" s="6"/>
      <c r="D35" s="6"/>
      <c r="E35" s="6"/>
    </row>
    <row r="36" customFormat="false" ht="15" hidden="false" customHeight="false" outlineLevel="0" collapsed="false">
      <c r="B36" s="7" t="s">
        <v>46</v>
      </c>
      <c r="C36" s="12" t="n">
        <v>5000</v>
      </c>
      <c r="E36" s="10" t="s">
        <v>47</v>
      </c>
    </row>
    <row r="37" customFormat="false" ht="15" hidden="false" customHeight="false" outlineLevel="0" collapsed="false">
      <c r="B37" s="7" t="s">
        <v>48</v>
      </c>
      <c r="C37" s="11" t="n">
        <v>0.4</v>
      </c>
      <c r="E37" s="10" t="s">
        <v>49</v>
      </c>
    </row>
    <row r="38" customFormat="false" ht="15" hidden="false" customHeight="false" outlineLevel="0" collapsed="false">
      <c r="B38" s="7" t="s">
        <v>50</v>
      </c>
      <c r="C38" s="11" t="n">
        <v>0.075</v>
      </c>
      <c r="E38" s="15" t="s">
        <v>51</v>
      </c>
    </row>
    <row r="39" customFormat="false" ht="15" hidden="false" customHeight="false" outlineLevel="0" collapsed="false">
      <c r="B39" s="7" t="s">
        <v>52</v>
      </c>
      <c r="C39" s="11" t="n">
        <v>0.02</v>
      </c>
      <c r="E39" s="10" t="s">
        <v>53</v>
      </c>
    </row>
    <row r="41" customFormat="false" ht="15" hidden="false" customHeight="false" outlineLevel="0" collapsed="false">
      <c r="B41" s="3" t="s">
        <v>54</v>
      </c>
    </row>
    <row r="42" customFormat="false" ht="15" hidden="false" customHeight="false" outlineLevel="0" collapsed="false">
      <c r="B42" s="10" t="s">
        <v>55</v>
      </c>
    </row>
    <row r="43" customFormat="false" ht="15" hidden="false" customHeight="false" outlineLevel="0" collapsed="false">
      <c r="B43" s="10" t="s">
        <v>56</v>
      </c>
    </row>
    <row r="44" customFormat="false" ht="15" hidden="false" customHeight="false" outlineLevel="0" collapsed="false">
      <c r="B44" s="14" t="s">
        <v>57</v>
      </c>
    </row>
  </sheetData>
  <mergeCells count="6">
    <mergeCell ref="B9:E9"/>
    <mergeCell ref="B18:E18"/>
    <mergeCell ref="B22:E22"/>
    <mergeCell ref="B27:E27"/>
    <mergeCell ref="B30:E30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4" min="3" style="0" width="16"/>
    <col collapsed="false" customWidth="true" hidden="false" outlineLevel="0" max="5" min="5" style="0" width="4"/>
    <col collapsed="false" customWidth="true" hidden="false" outlineLevel="0" max="6" min="6" style="0" width="60"/>
  </cols>
  <sheetData>
    <row r="1" customFormat="false" ht="16.15" hidden="false" customHeight="false" outlineLevel="0" collapsed="false">
      <c r="B1" s="1" t="s">
        <v>58</v>
      </c>
    </row>
    <row r="3" customFormat="false" ht="15" hidden="false" customHeight="false" outlineLevel="0" collapsed="false">
      <c r="B3" s="6" t="s">
        <v>59</v>
      </c>
      <c r="C3" s="6"/>
      <c r="D3" s="6"/>
      <c r="E3" s="6"/>
      <c r="F3" s="6"/>
    </row>
    <row r="4" customFormat="false" ht="15" hidden="false" customHeight="false" outlineLevel="0" collapsed="false">
      <c r="B4" s="7" t="s">
        <v>60</v>
      </c>
      <c r="C4" s="16" t="n">
        <f aca="false">Premissas!C10*Premissas!C11</f>
        <v>27.5</v>
      </c>
      <c r="F4" s="10" t="s">
        <v>61</v>
      </c>
    </row>
    <row r="5" customFormat="false" ht="15" hidden="false" customHeight="false" outlineLevel="0" collapsed="false">
      <c r="B5" s="7" t="s">
        <v>62</v>
      </c>
      <c r="C5" s="16" t="n">
        <f aca="false">C4*Premissas!C12</f>
        <v>15.125</v>
      </c>
      <c r="F5" s="10" t="s">
        <v>63</v>
      </c>
    </row>
    <row r="6" customFormat="false" ht="15" hidden="false" customHeight="false" outlineLevel="0" collapsed="false">
      <c r="B6" s="7" t="s">
        <v>64</v>
      </c>
      <c r="C6" s="16" t="n">
        <f aca="false">C4+C5*Premissas!C15</f>
        <v>88</v>
      </c>
      <c r="F6" s="10" t="s">
        <v>65</v>
      </c>
    </row>
    <row r="7" customFormat="false" ht="15" hidden="false" customHeight="false" outlineLevel="0" collapsed="false">
      <c r="B7" s="7" t="s">
        <v>66</v>
      </c>
      <c r="C7" s="17" t="n">
        <f aca="false">C4*Premissas!C13+C5*Premissas!C14</f>
        <v>45787.5</v>
      </c>
      <c r="F7" s="10" t="s">
        <v>67</v>
      </c>
    </row>
    <row r="9" customFormat="false" ht="15" hidden="false" customHeight="false" outlineLevel="0" collapsed="false">
      <c r="B9" s="6" t="s">
        <v>68</v>
      </c>
      <c r="C9" s="6"/>
      <c r="D9" s="6"/>
      <c r="E9" s="6"/>
      <c r="F9" s="6"/>
    </row>
    <row r="10" customFormat="false" ht="15" hidden="false" customHeight="false" outlineLevel="0" collapsed="false">
      <c r="B10" s="7" t="s">
        <v>69</v>
      </c>
      <c r="C10" s="16" t="n">
        <f aca="false">Premissas!C19*Premissas!C20</f>
        <v>55</v>
      </c>
      <c r="F10" s="10" t="s">
        <v>70</v>
      </c>
    </row>
    <row r="11" customFormat="false" ht="15" hidden="false" customHeight="false" outlineLevel="0" collapsed="false">
      <c r="B11" s="7" t="s">
        <v>71</v>
      </c>
      <c r="C11" s="16" t="n">
        <f aca="false">(1/Premissas!C12)+Premissas!C15</f>
        <v>5.81818181818182</v>
      </c>
      <c r="F11" s="10" t="s">
        <v>72</v>
      </c>
    </row>
    <row r="12" customFormat="false" ht="15" hidden="false" customHeight="false" outlineLevel="0" collapsed="false">
      <c r="B12" s="7" t="s">
        <v>73</v>
      </c>
      <c r="C12" s="16" t="n">
        <f aca="false">C10/C11</f>
        <v>9.453125</v>
      </c>
      <c r="F12" s="10" t="s">
        <v>74</v>
      </c>
    </row>
    <row r="13" customFormat="false" ht="15" hidden="false" customHeight="false" outlineLevel="0" collapsed="false">
      <c r="B13" s="7" t="s">
        <v>75</v>
      </c>
      <c r="C13" s="16" t="n">
        <f aca="false">C12/Premissas!C12</f>
        <v>17.1875</v>
      </c>
      <c r="F13" s="10"/>
    </row>
    <row r="14" customFormat="false" ht="15" hidden="false" customHeight="false" outlineLevel="0" collapsed="false">
      <c r="B14" s="7" t="s">
        <v>76</v>
      </c>
      <c r="C14" s="18" t="n">
        <f aca="false">C13/Premissas!C11</f>
        <v>62.5</v>
      </c>
      <c r="F14" s="10"/>
    </row>
    <row r="15" customFormat="false" ht="15" hidden="false" customHeight="false" outlineLevel="0" collapsed="false">
      <c r="B15" s="3" t="s">
        <v>77</v>
      </c>
      <c r="C15" s="19" t="n">
        <f aca="false">Premissas!C10-C14</f>
        <v>37.5</v>
      </c>
      <c r="F15" s="10" t="s">
        <v>78</v>
      </c>
    </row>
    <row r="16" customFormat="false" ht="15" hidden="false" customHeight="false" outlineLevel="0" collapsed="false">
      <c r="B16" s="3" t="s">
        <v>79</v>
      </c>
      <c r="C16" s="20" t="n">
        <f aca="false">C13*Premissas!C13+C12*Premissas!C14</f>
        <v>28617.1875</v>
      </c>
      <c r="F16" s="10" t="s">
        <v>80</v>
      </c>
    </row>
    <row r="18" customFormat="false" ht="15" hidden="false" customHeight="false" outlineLevel="0" collapsed="false">
      <c r="B18" s="3" t="s">
        <v>81</v>
      </c>
      <c r="C18" s="20" t="n">
        <f aca="false">C7-C16</f>
        <v>17170.3125</v>
      </c>
      <c r="F18" s="10" t="s">
        <v>82</v>
      </c>
    </row>
    <row r="20" customFormat="false" ht="15" hidden="false" customHeight="false" outlineLevel="0" collapsed="false">
      <c r="B20" s="21" t="s">
        <v>83</v>
      </c>
    </row>
  </sheetData>
  <mergeCells count="2">
    <mergeCell ref="B3:F3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5" min="3" style="0" width="16"/>
    <col collapsed="false" customWidth="true" hidden="false" outlineLevel="0" max="6" min="6" style="0" width="56"/>
  </cols>
  <sheetData>
    <row r="1" customFormat="false" ht="16.15" hidden="false" customHeight="false" outlineLevel="0" collapsed="false">
      <c r="B1" s="1" t="s">
        <v>84</v>
      </c>
    </row>
    <row r="3" customFormat="false" ht="15" hidden="false" customHeight="false" outlineLevel="0" collapsed="false">
      <c r="B3" s="6" t="s">
        <v>85</v>
      </c>
      <c r="C3" s="6"/>
      <c r="D3" s="6"/>
      <c r="E3" s="6"/>
      <c r="F3" s="6"/>
    </row>
    <row r="4" customFormat="false" ht="15" hidden="false" customHeight="false" outlineLevel="0" collapsed="false">
      <c r="B4" s="7" t="s">
        <v>86</v>
      </c>
      <c r="C4" s="22" t="n">
        <f aca="false">'1. O Teto'!C12</f>
        <v>9.453125</v>
      </c>
    </row>
    <row r="5" customFormat="false" ht="15" hidden="false" customHeight="false" outlineLevel="0" collapsed="false">
      <c r="B5" s="7" t="s">
        <v>87</v>
      </c>
      <c r="C5" s="23" t="n">
        <f aca="false">Premissas!C36</f>
        <v>5000</v>
      </c>
    </row>
    <row r="6" customFormat="false" ht="15" hidden="false" customHeight="false" outlineLevel="0" collapsed="false">
      <c r="B6" s="7" t="s">
        <v>88</v>
      </c>
      <c r="C6" s="24" t="n">
        <f aca="false">Premissas!C37</f>
        <v>0.4</v>
      </c>
    </row>
    <row r="7" customFormat="false" ht="15" hidden="false" customHeight="false" outlineLevel="0" collapsed="false">
      <c r="B7" s="7" t="s">
        <v>89</v>
      </c>
      <c r="C7" s="16" t="n">
        <f aca="false">C4*(1-C6)</f>
        <v>5.671875</v>
      </c>
    </row>
    <row r="8" customFormat="false" ht="15" hidden="false" customHeight="false" outlineLevel="0" collapsed="false">
      <c r="B8" s="7" t="s">
        <v>90</v>
      </c>
      <c r="C8" s="17" t="n">
        <f aca="false">C4*Premissas!C14*Premissas!C25</f>
        <v>22451.171875</v>
      </c>
    </row>
    <row r="9" customFormat="false" ht="15" hidden="false" customHeight="false" outlineLevel="0" collapsed="false">
      <c r="B9" s="7" t="s">
        <v>91</v>
      </c>
      <c r="C9" s="17" t="n">
        <f aca="false">C7*C5*Premissas!C25</f>
        <v>26941.40625</v>
      </c>
    </row>
    <row r="10" customFormat="false" ht="15" hidden="false" customHeight="false" outlineLevel="0" collapsed="false">
      <c r="B10" s="3" t="s">
        <v>92</v>
      </c>
      <c r="C10" s="20" t="n">
        <f aca="false">C9-C8</f>
        <v>4490.234375</v>
      </c>
      <c r="F10" s="10" t="s">
        <v>93</v>
      </c>
    </row>
    <row r="11" customFormat="false" ht="15" hidden="false" customHeight="false" outlineLevel="0" collapsed="false">
      <c r="B11" s="7" t="s">
        <v>94</v>
      </c>
      <c r="C11" s="16" t="n">
        <f aca="false">(C4-C7)*'1. O Teto'!C11</f>
        <v>22</v>
      </c>
      <c r="F11" s="10" t="s">
        <v>95</v>
      </c>
    </row>
    <row r="13" customFormat="false" ht="15" hidden="false" customHeight="false" outlineLevel="0" collapsed="false">
      <c r="B13" s="6" t="s">
        <v>96</v>
      </c>
      <c r="C13" s="6"/>
      <c r="D13" s="6"/>
      <c r="E13" s="6"/>
      <c r="F13" s="6"/>
    </row>
    <row r="14" customFormat="false" ht="15" hidden="false" customHeight="false" outlineLevel="0" collapsed="false">
      <c r="B14" s="7" t="s">
        <v>97</v>
      </c>
      <c r="C14" s="25" t="n">
        <f aca="false">'1. O Teto'!C15</f>
        <v>37.5</v>
      </c>
    </row>
    <row r="15" customFormat="false" ht="15" hidden="false" customHeight="false" outlineLevel="0" collapsed="false">
      <c r="B15" s="7" t="s">
        <v>98</v>
      </c>
      <c r="C15" s="24" t="n">
        <f aca="false">Premissas!C38</f>
        <v>0.075</v>
      </c>
      <c r="F15" s="15" t="s">
        <v>99</v>
      </c>
    </row>
    <row r="16" customFormat="false" ht="15" hidden="false" customHeight="false" outlineLevel="0" collapsed="false">
      <c r="B16" s="7" t="s">
        <v>100</v>
      </c>
      <c r="C16" s="26" t="n">
        <f aca="false">C14*C15</f>
        <v>2.8125</v>
      </c>
    </row>
    <row r="17" customFormat="false" ht="15" hidden="false" customHeight="false" outlineLevel="0" collapsed="false">
      <c r="B17" s="7" t="s">
        <v>101</v>
      </c>
      <c r="C17" s="27" t="n">
        <f aca="false">Premissas!C23*Premissas!C24</f>
        <v>2250</v>
      </c>
    </row>
    <row r="18" customFormat="false" ht="15" hidden="false" customHeight="false" outlineLevel="0" collapsed="false">
      <c r="B18" s="3" t="s">
        <v>102</v>
      </c>
      <c r="C18" s="20" t="n">
        <f aca="false">C16*C17</f>
        <v>6328.125</v>
      </c>
    </row>
    <row r="20" customFormat="false" ht="15" hidden="false" customHeight="false" outlineLevel="0" collapsed="false">
      <c r="B20" s="6" t="s">
        <v>103</v>
      </c>
      <c r="C20" s="6"/>
      <c r="D20" s="6"/>
      <c r="E20" s="6"/>
      <c r="F20" s="6"/>
    </row>
    <row r="21" customFormat="false" ht="15" hidden="false" customHeight="false" outlineLevel="0" collapsed="false">
      <c r="B21" s="7" t="s">
        <v>35</v>
      </c>
      <c r="C21" s="25" t="n">
        <f aca="false">Premissas!C28</f>
        <v>500</v>
      </c>
      <c r="F21" s="15" t="s">
        <v>104</v>
      </c>
    </row>
    <row r="22" customFormat="false" ht="15" hidden="false" customHeight="false" outlineLevel="0" collapsed="false">
      <c r="B22" s="7" t="s">
        <v>105</v>
      </c>
      <c r="C22" s="24" t="n">
        <f aca="false">Premissas!C39</f>
        <v>0.02</v>
      </c>
    </row>
    <row r="23" customFormat="false" ht="15" hidden="false" customHeight="false" outlineLevel="0" collapsed="false">
      <c r="B23" s="7" t="s">
        <v>106</v>
      </c>
      <c r="C23" s="26" t="n">
        <f aca="false">C21*C22</f>
        <v>10</v>
      </c>
      <c r="F23" s="10" t="s">
        <v>107</v>
      </c>
    </row>
    <row r="24" customFormat="false" ht="15" hidden="false" customHeight="false" outlineLevel="0" collapsed="false">
      <c r="B24" s="3" t="s">
        <v>108</v>
      </c>
      <c r="C24" s="20" t="n">
        <f aca="false">C23*C17</f>
        <v>22500</v>
      </c>
    </row>
  </sheetData>
  <mergeCells count="3">
    <mergeCell ref="B3:F3"/>
    <mergeCell ref="B13:F13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6" min="3" style="0" width="14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50"/>
  </cols>
  <sheetData>
    <row r="1" customFormat="false" ht="16.15" hidden="false" customHeight="false" outlineLevel="0" collapsed="false">
      <c r="B1" s="1" t="s">
        <v>109</v>
      </c>
    </row>
    <row r="3" customFormat="false" ht="15" hidden="false" customHeight="false" outlineLevel="0" collapsed="false">
      <c r="B3" s="6" t="s">
        <v>110</v>
      </c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B4" s="7" t="s">
        <v>111</v>
      </c>
      <c r="C4" s="27" t="n">
        <f aca="false">Premissas!C31+Premissas!C33</f>
        <v>7500</v>
      </c>
      <c r="J4" s="10" t="s">
        <v>112</v>
      </c>
    </row>
    <row r="5" customFormat="false" ht="15" hidden="false" customHeight="false" outlineLevel="0" collapsed="false">
      <c r="B5" s="7" t="s">
        <v>113</v>
      </c>
      <c r="C5" s="26" t="n">
        <f aca="false">C4/'2. Alavancas'!C17</f>
        <v>3.33333333333333</v>
      </c>
    </row>
    <row r="6" customFormat="false" ht="15" hidden="false" customHeight="false" outlineLevel="0" collapsed="false">
      <c r="B6" s="7" t="s">
        <v>114</v>
      </c>
      <c r="C6" s="27" t="n">
        <f aca="false">MAX(0,C4-'2. Alavancas'!C10)</f>
        <v>3009.765625</v>
      </c>
    </row>
    <row r="7" customFormat="false" ht="15" hidden="false" customHeight="false" outlineLevel="0" collapsed="false">
      <c r="B7" s="3" t="s">
        <v>115</v>
      </c>
      <c r="C7" s="28" t="n">
        <f aca="false">C6/'2. Alavancas'!C17</f>
        <v>1.33767361111111</v>
      </c>
      <c r="J7" s="10" t="s">
        <v>116</v>
      </c>
    </row>
    <row r="9" customFormat="false" ht="15" hidden="false" customHeight="false" outlineLevel="0" collapsed="false">
      <c r="B9" s="6" t="s">
        <v>117</v>
      </c>
      <c r="C9" s="6"/>
      <c r="D9" s="6"/>
      <c r="E9" s="6"/>
      <c r="F9" s="6"/>
      <c r="G9" s="6"/>
      <c r="H9" s="6"/>
      <c r="I9" s="6"/>
      <c r="L9" s="3" t="s">
        <v>118</v>
      </c>
    </row>
    <row r="10" customFormat="false" ht="15" hidden="false" customHeight="false" outlineLevel="0" collapsed="false">
      <c r="B10" s="29" t="s">
        <v>119</v>
      </c>
      <c r="C10" s="29" t="s">
        <v>120</v>
      </c>
      <c r="D10" s="29" t="s">
        <v>121</v>
      </c>
      <c r="E10" s="29" t="s">
        <v>122</v>
      </c>
      <c r="F10" s="29" t="s">
        <v>123</v>
      </c>
      <c r="G10" s="29" t="s">
        <v>124</v>
      </c>
      <c r="H10" s="29" t="s">
        <v>125</v>
      </c>
      <c r="I10" s="29" t="s">
        <v>126</v>
      </c>
      <c r="J10" s="29" t="s">
        <v>127</v>
      </c>
      <c r="L10" s="30" t="s">
        <v>128</v>
      </c>
      <c r="M10" s="30" t="s">
        <v>129</v>
      </c>
    </row>
    <row r="11" customFormat="false" ht="15" hidden="false" customHeight="false" outlineLevel="0" collapsed="false">
      <c r="B11" s="31" t="n">
        <v>1</v>
      </c>
      <c r="C11" s="17" t="n">
        <f aca="false">$C$4</f>
        <v>7500</v>
      </c>
      <c r="D11" s="17" t="n">
        <f aca="false">'2. Alavancas'!$C$10</f>
        <v>4490.234375</v>
      </c>
      <c r="E11" s="17" t="n">
        <f aca="false">'2. Alavancas'!$C$18*L11</f>
        <v>0</v>
      </c>
      <c r="F11" s="17" t="n">
        <f aca="false">'2. Alavancas'!$C$24*M11</f>
        <v>4500</v>
      </c>
      <c r="G11" s="17" t="n">
        <f aca="false">D11+E11+F11</f>
        <v>8990.234375</v>
      </c>
      <c r="H11" s="17" t="n">
        <f aca="false">SUM($C$11:C11)</f>
        <v>7500</v>
      </c>
      <c r="I11" s="17" t="n">
        <f aca="false">SUM($G$11:G11)</f>
        <v>8990.234375</v>
      </c>
      <c r="J11" s="20" t="n">
        <f aca="false">I11-H11</f>
        <v>1490.234375</v>
      </c>
      <c r="L11" s="32" t="n">
        <v>0</v>
      </c>
      <c r="M11" s="32" t="n">
        <v>0.2</v>
      </c>
      <c r="N11" s="10" t="s">
        <v>130</v>
      </c>
    </row>
    <row r="12" customFormat="false" ht="15" hidden="false" customHeight="false" outlineLevel="0" collapsed="false">
      <c r="B12" s="31" t="n">
        <v>2</v>
      </c>
      <c r="C12" s="17" t="n">
        <f aca="false">$C$4</f>
        <v>7500</v>
      </c>
      <c r="D12" s="17" t="n">
        <f aca="false">'2. Alavancas'!$C$10</f>
        <v>4490.234375</v>
      </c>
      <c r="E12" s="17" t="n">
        <f aca="false">'2. Alavancas'!$C$18*L12</f>
        <v>3164.0625</v>
      </c>
      <c r="F12" s="17" t="n">
        <f aca="false">'2. Alavancas'!$C$24*M12</f>
        <v>9000</v>
      </c>
      <c r="G12" s="17" t="n">
        <f aca="false">D12+E12+F12</f>
        <v>16654.296875</v>
      </c>
      <c r="H12" s="17" t="n">
        <f aca="false">SUM($C$11:C12)</f>
        <v>15000</v>
      </c>
      <c r="I12" s="17" t="n">
        <f aca="false">SUM($G$11:G12)</f>
        <v>25644.53125</v>
      </c>
      <c r="J12" s="20" t="n">
        <f aca="false">I12-H12</f>
        <v>10644.53125</v>
      </c>
      <c r="L12" s="32" t="n">
        <v>0.5</v>
      </c>
      <c r="M12" s="32" t="n">
        <v>0.4</v>
      </c>
    </row>
    <row r="13" customFormat="false" ht="15" hidden="false" customHeight="false" outlineLevel="0" collapsed="false">
      <c r="B13" s="31" t="n">
        <v>3</v>
      </c>
      <c r="C13" s="17" t="n">
        <f aca="false">$C$4</f>
        <v>7500</v>
      </c>
      <c r="D13" s="17" t="n">
        <f aca="false">'2. Alavancas'!$C$10</f>
        <v>4490.234375</v>
      </c>
      <c r="E13" s="17" t="n">
        <f aca="false">'2. Alavancas'!$C$18*L13</f>
        <v>6328.125</v>
      </c>
      <c r="F13" s="17" t="n">
        <f aca="false">'2. Alavancas'!$C$24*M13</f>
        <v>9000</v>
      </c>
      <c r="G13" s="17" t="n">
        <f aca="false">D13+E13+F13</f>
        <v>19818.359375</v>
      </c>
      <c r="H13" s="17" t="n">
        <f aca="false">SUM($C$11:C13)</f>
        <v>22500</v>
      </c>
      <c r="I13" s="17" t="n">
        <f aca="false">SUM($G$11:G13)</f>
        <v>45462.890625</v>
      </c>
      <c r="J13" s="20" t="n">
        <f aca="false">I13-H13</f>
        <v>22962.890625</v>
      </c>
      <c r="L13" s="32" t="n">
        <v>1</v>
      </c>
      <c r="M13" s="32" t="n">
        <v>0.4</v>
      </c>
      <c r="N13" s="10" t="s">
        <v>131</v>
      </c>
    </row>
    <row r="14" customFormat="false" ht="15" hidden="false" customHeight="false" outlineLevel="0" collapsed="false">
      <c r="B14" s="31" t="n">
        <v>4</v>
      </c>
      <c r="C14" s="17" t="n">
        <f aca="false">$C$4</f>
        <v>7500</v>
      </c>
      <c r="D14" s="17" t="n">
        <f aca="false">'2. Alavancas'!$C$10</f>
        <v>4490.234375</v>
      </c>
      <c r="E14" s="17" t="n">
        <f aca="false">'2. Alavancas'!$C$18*L14</f>
        <v>6328.125</v>
      </c>
      <c r="F14" s="17" t="n">
        <f aca="false">'2. Alavancas'!$C$24*M14</f>
        <v>0</v>
      </c>
      <c r="G14" s="17" t="n">
        <f aca="false">D14+E14+F14</f>
        <v>10818.359375</v>
      </c>
      <c r="H14" s="17" t="n">
        <f aca="false">SUM($C$11:C14)</f>
        <v>30000</v>
      </c>
      <c r="I14" s="17" t="n">
        <f aca="false">SUM($G$11:G14)</f>
        <v>56281.25</v>
      </c>
      <c r="J14" s="20" t="n">
        <f aca="false">I14-H14</f>
        <v>26281.25</v>
      </c>
      <c r="L14" s="32" t="n">
        <v>1</v>
      </c>
      <c r="M14" s="32" t="n">
        <v>0</v>
      </c>
    </row>
    <row r="15" customFormat="false" ht="15" hidden="false" customHeight="false" outlineLevel="0" collapsed="false">
      <c r="B15" s="31" t="n">
        <v>5</v>
      </c>
      <c r="C15" s="17" t="n">
        <f aca="false">$C$4</f>
        <v>7500</v>
      </c>
      <c r="D15" s="17" t="n">
        <f aca="false">'2. Alavancas'!$C$10</f>
        <v>4490.234375</v>
      </c>
      <c r="E15" s="17" t="n">
        <f aca="false">'2. Alavancas'!$C$18*L15</f>
        <v>6328.125</v>
      </c>
      <c r="F15" s="17" t="n">
        <f aca="false">'2. Alavancas'!$C$24*M15</f>
        <v>0</v>
      </c>
      <c r="G15" s="17" t="n">
        <f aca="false">D15+E15+F15</f>
        <v>10818.359375</v>
      </c>
      <c r="H15" s="17" t="n">
        <f aca="false">SUM($C$11:C15)</f>
        <v>37500</v>
      </c>
      <c r="I15" s="17" t="n">
        <f aca="false">SUM($G$11:G15)</f>
        <v>67099.609375</v>
      </c>
      <c r="J15" s="20" t="n">
        <f aca="false">I15-H15</f>
        <v>29599.609375</v>
      </c>
      <c r="L15" s="32" t="n">
        <v>1</v>
      </c>
      <c r="M15" s="32" t="n">
        <v>0</v>
      </c>
    </row>
    <row r="16" customFormat="false" ht="15" hidden="false" customHeight="false" outlineLevel="0" collapsed="false">
      <c r="B16" s="31" t="n">
        <v>6</v>
      </c>
      <c r="C16" s="17" t="n">
        <f aca="false">$C$4</f>
        <v>7500</v>
      </c>
      <c r="D16" s="17" t="n">
        <f aca="false">'2. Alavancas'!$C$10</f>
        <v>4490.234375</v>
      </c>
      <c r="E16" s="17" t="n">
        <f aca="false">'2. Alavancas'!$C$18*L16</f>
        <v>6328.125</v>
      </c>
      <c r="F16" s="17" t="n">
        <f aca="false">'2. Alavancas'!$C$24*M16</f>
        <v>0</v>
      </c>
      <c r="G16" s="17" t="n">
        <f aca="false">D16+E16+F16</f>
        <v>10818.359375</v>
      </c>
      <c r="H16" s="17" t="n">
        <f aca="false">SUM($C$11:C16)</f>
        <v>45000</v>
      </c>
      <c r="I16" s="17" t="n">
        <f aca="false">SUM($G$11:G16)</f>
        <v>77917.96875</v>
      </c>
      <c r="J16" s="20" t="n">
        <f aca="false">I16-H16</f>
        <v>32917.96875</v>
      </c>
      <c r="L16" s="32" t="n">
        <v>1</v>
      </c>
      <c r="M16" s="32" t="n">
        <v>0</v>
      </c>
    </row>
    <row r="18" customFormat="false" ht="15" hidden="false" customHeight="false" outlineLevel="0" collapsed="false">
      <c r="B18" s="3" t="s">
        <v>132</v>
      </c>
      <c r="C18" s="33" t="n">
        <f aca="false">IFERROR(MATCH(TRUE(),INDEX(J11:J16&gt;0,0),0),"não ocorre em 6 meses")</f>
        <v>1</v>
      </c>
    </row>
    <row r="19" customFormat="false" ht="15" hidden="false" customHeight="false" outlineLevel="0" collapsed="false">
      <c r="B19" s="3" t="s">
        <v>133</v>
      </c>
      <c r="C19" s="20" t="n">
        <f aca="false">J16</f>
        <v>32917.96875</v>
      </c>
    </row>
    <row r="20" customFormat="false" ht="15" hidden="false" customHeight="false" outlineLevel="0" collapsed="false">
      <c r="B20" s="3" t="s">
        <v>134</v>
      </c>
      <c r="C20" s="34" t="n">
        <f aca="false">IFERROR(J16/H16,0)</f>
        <v>0.731510416666667</v>
      </c>
    </row>
    <row r="22" customFormat="false" ht="15" hidden="false" customHeight="false" outlineLevel="0" collapsed="false">
      <c r="B22" s="5" t="s">
        <v>135</v>
      </c>
    </row>
  </sheetData>
  <mergeCells count="2">
    <mergeCell ref="B3:I3"/>
    <mergeCell ref="B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4"/>
    <col collapsed="false" customWidth="true" hidden="false" outlineLevel="0" max="6" min="6" style="0" width="54"/>
  </cols>
  <sheetData>
    <row r="1" customFormat="false" ht="16.15" hidden="false" customHeight="false" outlineLevel="0" collapsed="false">
      <c r="B1" s="1" t="s">
        <v>136</v>
      </c>
    </row>
    <row r="2" customFormat="false" ht="15" hidden="false" customHeight="false" outlineLevel="0" collapsed="false">
      <c r="B2" s="35" t="s">
        <v>137</v>
      </c>
    </row>
    <row r="4" customFormat="false" ht="15" hidden="false" customHeight="false" outlineLevel="0" collapsed="false">
      <c r="B4" s="6" t="s">
        <v>138</v>
      </c>
      <c r="C4" s="6"/>
      <c r="D4" s="6"/>
      <c r="E4" s="6"/>
      <c r="F4" s="6"/>
    </row>
    <row r="5" customFormat="false" ht="15" hidden="false" customHeight="false" outlineLevel="0" collapsed="false">
      <c r="B5" s="3" t="s">
        <v>139</v>
      </c>
    </row>
    <row r="6" customFormat="false" ht="15" hidden="false" customHeight="false" outlineLevel="0" collapsed="false">
      <c r="B6" s="7" t="s">
        <v>140</v>
      </c>
      <c r="C6" s="13" t="n">
        <v>8</v>
      </c>
    </row>
    <row r="7" customFormat="false" ht="15" hidden="false" customHeight="false" outlineLevel="0" collapsed="false">
      <c r="B7" s="7" t="s">
        <v>141</v>
      </c>
      <c r="C7" s="13" t="n">
        <v>3</v>
      </c>
    </row>
    <row r="8" customFormat="false" ht="15" hidden="false" customHeight="false" outlineLevel="0" collapsed="false">
      <c r="B8" s="7" t="s">
        <v>142</v>
      </c>
      <c r="C8" s="13" t="n">
        <v>8</v>
      </c>
    </row>
    <row r="9" customFormat="false" ht="15" hidden="false" customHeight="false" outlineLevel="0" collapsed="false">
      <c r="B9" s="7" t="s">
        <v>143</v>
      </c>
      <c r="C9" s="13" t="n">
        <v>6</v>
      </c>
    </row>
    <row r="10" customFormat="false" ht="15" hidden="false" customHeight="false" outlineLevel="0" collapsed="false">
      <c r="B10" s="7" t="s">
        <v>144</v>
      </c>
      <c r="C10" s="13" t="n">
        <v>5</v>
      </c>
    </row>
    <row r="11" customFormat="false" ht="15" hidden="false" customHeight="false" outlineLevel="0" collapsed="false">
      <c r="B11" s="7" t="s">
        <v>145</v>
      </c>
      <c r="C11" s="13" t="n">
        <v>3</v>
      </c>
    </row>
    <row r="12" customFormat="false" ht="15" hidden="false" customHeight="false" outlineLevel="0" collapsed="false">
      <c r="B12" s="3" t="s">
        <v>146</v>
      </c>
      <c r="C12" s="36" t="n">
        <f aca="false">SUM(C6:C11)</f>
        <v>33</v>
      </c>
    </row>
    <row r="14" customFormat="false" ht="15" hidden="false" customHeight="false" outlineLevel="0" collapsed="false">
      <c r="B14" s="3" t="s">
        <v>147</v>
      </c>
    </row>
    <row r="15" customFormat="false" ht="15" hidden="false" customHeight="false" outlineLevel="0" collapsed="false">
      <c r="B15" s="7" t="s">
        <v>148</v>
      </c>
      <c r="C15" s="13" t="n">
        <v>5</v>
      </c>
    </row>
    <row r="16" customFormat="false" ht="15" hidden="false" customHeight="false" outlineLevel="0" collapsed="false">
      <c r="B16" s="7" t="s">
        <v>149</v>
      </c>
      <c r="C16" s="13" t="n">
        <v>3.5</v>
      </c>
    </row>
    <row r="17" customFormat="false" ht="15" hidden="false" customHeight="false" outlineLevel="0" collapsed="false">
      <c r="B17" s="7" t="s">
        <v>150</v>
      </c>
      <c r="C17" s="13" t="n">
        <v>3</v>
      </c>
    </row>
    <row r="18" customFormat="false" ht="15" hidden="false" customHeight="false" outlineLevel="0" collapsed="false">
      <c r="B18" s="7" t="s">
        <v>151</v>
      </c>
      <c r="C18" s="13" t="n">
        <v>2</v>
      </c>
    </row>
    <row r="19" customFormat="false" ht="15" hidden="false" customHeight="false" outlineLevel="0" collapsed="false">
      <c r="B19" s="3" t="s">
        <v>152</v>
      </c>
      <c r="C19" s="36" t="n">
        <f aca="false">SUM(C15:C18)</f>
        <v>13.5</v>
      </c>
    </row>
    <row r="21" customFormat="false" ht="15" hidden="false" customHeight="false" outlineLevel="0" collapsed="false">
      <c r="B21" s="6" t="s">
        <v>153</v>
      </c>
      <c r="C21" s="6"/>
      <c r="D21" s="6"/>
      <c r="E21" s="6"/>
      <c r="F21" s="6"/>
    </row>
    <row r="22" customFormat="false" ht="15" hidden="false" customHeight="false" outlineLevel="0" collapsed="false">
      <c r="B22" s="7" t="s">
        <v>154</v>
      </c>
      <c r="C22" s="16" t="n">
        <f aca="false">C12+C19*(Premissas!C32-1)</f>
        <v>100.5</v>
      </c>
      <c r="F22" s="10"/>
    </row>
    <row r="23" customFormat="false" ht="15" hidden="false" customHeight="false" outlineLevel="0" collapsed="false">
      <c r="B23" s="7" t="s">
        <v>155</v>
      </c>
      <c r="C23" s="17" t="n">
        <f aca="false">Premissas!C31*Premissas!C32</f>
        <v>27000</v>
      </c>
      <c r="F23" s="10"/>
    </row>
    <row r="24" customFormat="false" ht="15" hidden="false" customHeight="false" outlineLevel="0" collapsed="false">
      <c r="B24" s="3" t="s">
        <v>156</v>
      </c>
      <c r="C24" s="20" t="n">
        <f aca="false">C23/C22</f>
        <v>268.65671641791</v>
      </c>
      <c r="F24" s="10" t="s">
        <v>157</v>
      </c>
    </row>
    <row r="25" customFormat="false" ht="15" hidden="false" customHeight="false" outlineLevel="0" collapsed="false">
      <c r="B25" s="7" t="s">
        <v>158</v>
      </c>
      <c r="C25" s="16" t="n">
        <f aca="false">C23/250</f>
        <v>108</v>
      </c>
      <c r="F25" s="10"/>
    </row>
    <row r="26" customFormat="false" ht="15" hidden="false" customHeight="false" outlineLevel="0" collapsed="false">
      <c r="B26" s="3" t="s">
        <v>159</v>
      </c>
      <c r="C26" s="28" t="n">
        <f aca="false">C25-C22</f>
        <v>7.5</v>
      </c>
      <c r="F26" s="10" t="s">
        <v>160</v>
      </c>
    </row>
    <row r="27" customFormat="false" ht="15" hidden="false" customHeight="false" outlineLevel="0" collapsed="false">
      <c r="B27" s="3" t="s">
        <v>161</v>
      </c>
      <c r="C27" s="33" t="str">
        <f aca="false">IF(C24&gt;=250,"SIM","NAO — REPROVA")</f>
        <v>SIM</v>
      </c>
      <c r="F27" s="10"/>
    </row>
    <row r="29" customFormat="false" ht="15" hidden="false" customHeight="false" outlineLevel="0" collapsed="false">
      <c r="B29" s="6" t="s">
        <v>162</v>
      </c>
      <c r="C29" s="6"/>
      <c r="D29" s="6"/>
      <c r="E29" s="6"/>
      <c r="F29" s="6"/>
    </row>
    <row r="30" customFormat="false" ht="15" hidden="false" customHeight="false" outlineLevel="0" collapsed="false">
      <c r="B30" s="37" t="s">
        <v>163</v>
      </c>
      <c r="C30" s="37" t="s">
        <v>164</v>
      </c>
      <c r="D30" s="37" t="s">
        <v>165</v>
      </c>
      <c r="E30" s="37" t="s">
        <v>166</v>
      </c>
    </row>
    <row r="31" customFormat="false" ht="15" hidden="false" customHeight="false" outlineLevel="0" collapsed="false">
      <c r="B31" s="38" t="n">
        <v>0</v>
      </c>
      <c r="C31" s="26" t="n">
        <f aca="false">$C$22+B31</f>
        <v>100.5</v>
      </c>
      <c r="D31" s="27" t="n">
        <f aca="false">$C$23/C31</f>
        <v>268.65671641791</v>
      </c>
      <c r="E31" s="33" t="str">
        <f aca="false">IF(D31&gt;=250,"ok","FURA O PISO")</f>
        <v>ok</v>
      </c>
    </row>
    <row r="32" customFormat="false" ht="15" hidden="false" customHeight="false" outlineLevel="0" collapsed="false">
      <c r="B32" s="38" t="n">
        <v>10</v>
      </c>
      <c r="C32" s="26" t="n">
        <f aca="false">$C$22+B32</f>
        <v>110.5</v>
      </c>
      <c r="D32" s="27" t="n">
        <f aca="false">$C$23/C32</f>
        <v>244.343891402715</v>
      </c>
      <c r="E32" s="33" t="str">
        <f aca="false">IF(D32&gt;=250,"ok","FURA O PISO")</f>
        <v>FURA O PISO</v>
      </c>
    </row>
    <row r="33" customFormat="false" ht="15" hidden="false" customHeight="false" outlineLevel="0" collapsed="false">
      <c r="B33" s="38" t="n">
        <v>20</v>
      </c>
      <c r="C33" s="26" t="n">
        <f aca="false">$C$22+B33</f>
        <v>120.5</v>
      </c>
      <c r="D33" s="27" t="n">
        <f aca="false">$C$23/C33</f>
        <v>224.066390041494</v>
      </c>
      <c r="E33" s="33" t="str">
        <f aca="false">IF(D33&gt;=250,"ok","FURA O PISO")</f>
        <v>FURA O PISO</v>
      </c>
    </row>
    <row r="34" customFormat="false" ht="15" hidden="false" customHeight="false" outlineLevel="0" collapsed="false">
      <c r="B34" s="38" t="n">
        <v>30</v>
      </c>
      <c r="C34" s="26" t="n">
        <f aca="false">$C$22+B34</f>
        <v>130.5</v>
      </c>
      <c r="D34" s="27" t="n">
        <f aca="false">$C$23/C34</f>
        <v>206.896551724138</v>
      </c>
      <c r="E34" s="33" t="str">
        <f aca="false">IF(D34&gt;=250,"ok","FURA O PISO")</f>
        <v>FURA O PISO</v>
      </c>
    </row>
    <row r="35" customFormat="false" ht="15" hidden="false" customHeight="false" outlineLevel="0" collapsed="false">
      <c r="B35" s="38" t="n">
        <v>40</v>
      </c>
      <c r="C35" s="26" t="n">
        <f aca="false">$C$22+B35</f>
        <v>140.5</v>
      </c>
      <c r="D35" s="27" t="n">
        <f aca="false">$C$23/C35</f>
        <v>192.170818505338</v>
      </c>
      <c r="E35" s="33" t="str">
        <f aca="false">IF(D35&gt;=250,"ok","FURA O PISO")</f>
        <v>FURA O PISO</v>
      </c>
    </row>
    <row r="37" customFormat="false" ht="15" hidden="false" customHeight="false" outlineLevel="0" collapsed="false">
      <c r="B37" s="5" t="s">
        <v>167</v>
      </c>
    </row>
    <row r="38" customFormat="false" ht="15" hidden="false" customHeight="false" outlineLevel="0" collapsed="false">
      <c r="B38" s="5" t="s">
        <v>168</v>
      </c>
    </row>
    <row r="39" customFormat="false" ht="15" hidden="false" customHeight="false" outlineLevel="0" collapsed="false">
      <c r="B39" s="5" t="s">
        <v>169</v>
      </c>
    </row>
  </sheetData>
  <mergeCells count="3">
    <mergeCell ref="B4:F4"/>
    <mergeCell ref="B21:F21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2026-08-21T22:44:17Z</dcterms:created>
  <dc:creator>openpyxl</dc:creator>
  <dc:description/>
  <dc:language>en-US</dc:language>
  <cp:lastModifiedBy/>
  <dcterms:modified xsi:type="dcterms:W3CDTF">2026-08-21T22:45:46Z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